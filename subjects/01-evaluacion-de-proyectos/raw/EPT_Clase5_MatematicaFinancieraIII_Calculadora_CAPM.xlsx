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a CAPM" sheetId="1" r:id="rId5"/>
    <sheet state="visible" name="Sensibilidad CAPM" sheetId="2" r:id="rId6"/>
    <sheet state="visible" name="Ejercitación" sheetId="3" r:id="rId7"/>
  </sheets>
  <definedNames/>
  <calcPr/>
</workbook>
</file>

<file path=xl/sharedStrings.xml><?xml version="1.0" encoding="utf-8"?>
<sst xmlns="http://schemas.openxmlformats.org/spreadsheetml/2006/main" count="55" uniqueCount="45">
  <si>
    <t>Ejercitación: el mismo Ke, dos maneras de llegar a él</t>
  </si>
  <si>
    <t>Calculadora de CAPM (con Riesgo País)</t>
  </si>
  <si>
    <t>Es la misma empresa de desarrollo de software de la Ejercitación 2 (WACC). Ahí el Ke = 24% vino dado como un dato del enunciado. Acá lo van a estimar con CAPM, para compararlo contra ese dato y ver qué cambia en el WACC si lo reemplazan.</t>
  </si>
  <si>
    <t>Evaluación de Proyectos de Tecnología, UADE</t>
  </si>
  <si>
    <t>Dato del enunciado</t>
  </si>
  <si>
    <t>Celdas amarillas: editar. Celdas blancas: fórmulas, no tocar.</t>
  </si>
  <si>
    <t>Valor</t>
  </si>
  <si>
    <t>Tareas a resolver</t>
  </si>
  <si>
    <t>Tasa libre de riesgo (rf)</t>
  </si>
  <si>
    <t>Dato</t>
  </si>
  <si>
    <t>1. Completar RP con el dato del día y calcular E(ri).
2. Comparar el resultado con el WACC calculado en la Ejercitación anterior (ver el otro archivo, EPT_Clase5_MatematicaFinancieraIII_Calculadora_WACC.xlsx).
3. Análisis crítico: si ambas tasas estuvieran disponibles para el mismo proyecto, ¿cuál usarían y por qué?</t>
  </si>
  <si>
    <t>Notas y fuentes</t>
  </si>
  <si>
    <t>Rentabilidad del mercado (E(rm))</t>
  </si>
  <si>
    <t>Beta (β), sector Computer Services (misma empresa de software)</t>
  </si>
  <si>
    <t>rf: rendimiento del bono del Tesoro de EE.UU. a 10 años. Fuente: FRED, serie DGS10, fred.stlouisfed.org/series/DGS10.
β: dataset Global de Aswath Damodaran (Stern School of Business), categoría 'Computer Services'. Se actualiza en enero de cada año.
RP: riesgo país argentino EMBI+ de JP Morgan, en puntos básicos dividido 10.000 para pasarlo a porcentaje. Fuente: Ámbito Financiero, ambito.com/contenidos/riesgo-pais.html.
rf y RP son datos de mercado que cambian todos los días: actualizarlos antes de cada clase.</t>
  </si>
  <si>
    <t>Rentabilidad esperada del mercado (E(rm))</t>
  </si>
  <si>
    <t>Riesgo país (RP), completar con el dato del día</t>
  </si>
  <si>
    <t>Beta sectorial (β)</t>
  </si>
  <si>
    <t>Resultado</t>
  </si>
  <si>
    <t>Riesgo país (RP)</t>
  </si>
  <si>
    <t>Prima de mercado: E(rm) - rf</t>
  </si>
  <si>
    <t>Prima ajustada por beta: β × [E(rm)-rf]</t>
  </si>
  <si>
    <t>E(ri)</t>
  </si>
  <si>
    <t>E(ri) = rf + prima ajustada + RP</t>
  </si>
  <si>
    <t>Paso 2: comparar contra el Ke asumido en WACC</t>
  </si>
  <si>
    <t>Ke asumido en el enunciado de la Ejercitación 2 (dato a comparar)</t>
  </si>
  <si>
    <t>Diferencia: E(ri) calculado menos Ke asumido</t>
  </si>
  <si>
    <t>Paso 3: recalcular el WACC con este nuevo Ke</t>
  </si>
  <si>
    <t>Deuda bancaria (% del total, igual que en la Ejercitación 2)</t>
  </si>
  <si>
    <t>Capital propio (% del total, igual que en la Ejercitación 2)</t>
  </si>
  <si>
    <t>Tasa de interés bancaria, Tp (igual que en la Ejercitación 2)</t>
  </si>
  <si>
    <t>Impuesto a las ganancias, t (igual que en la Ejercitación 2)</t>
  </si>
  <si>
    <t>Kp = Tp × (1 - t)</t>
  </si>
  <si>
    <t>Deuda ponderada: %Deuda × Kp</t>
  </si>
  <si>
    <t>Capital ponderado ORIGINAL: %Capital × Ke asumido (24%)</t>
  </si>
  <si>
    <t>Capital ponderado NUEVO: %Capital × E(ri) calculado con CAPM</t>
  </si>
  <si>
    <t>WACC ORIGINAL (con Ke = 24% asumido)</t>
  </si>
  <si>
    <t>WACC NUEVO (con el Ke que salió de CAPM)</t>
  </si>
  <si>
    <t>Diferencia entre el WACC nuevo y el original</t>
  </si>
  <si>
    <t>Si el WACC nuevo y el original quedan parecidos, el Ke asumido en la Ejercitación 2 era una estimación razonable. Si quedan muy distintos, es la evidencia concreta de qué tanto puede cambiar la decisión de un proyecto según de dónde saques el Ke.</t>
  </si>
  <si>
    <t>Sensibilidad de E(ri) según el Riesgo País</t>
  </si>
  <si>
    <t>Mantiene fijos rf, E(rm) y beta de la hoja anterior y varía el Riesgo País para mostrar el impacto real del contexto macroeconómico argentino sobre la tasa exigida al proyecto.</t>
  </si>
  <si>
    <t>Riesgo País (RP)</t>
  </si>
  <si>
    <t>En puntos básicos</t>
  </si>
  <si>
    <t>Para usar otro escenario, cambiá rf, E(rm) o beta en la hoja 'Calculadora CAPM': esta tabla se recalcula sola.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</si>
</sst>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b/>
      <sz val="14.0"/>
      <color rgb="FF1F3864"/>
      <name val="Arial"/>
    </font>
    <font>
      <sz val="11.0"/>
      <color theme="1"/>
      <name val="Calibri"/>
    </font>
    <font>
      <i/>
      <sz val="9.0"/>
      <color rgb="FF595959"/>
      <name val="Arial"/>
    </font>
    <font>
      <i/>
      <sz val="12.0"/>
      <color rgb="FF595959"/>
      <name val="Arial"/>
    </font>
    <font>
      <b/>
      <sz val="12.0"/>
      <color rgb="FFFFFFFF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3">
    <border/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3" fontId="8" numFmtId="164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shrinkToFit="0" vertical="top" wrapText="1"/>
    </xf>
    <xf borderId="2" fillId="3" fontId="8" numFmtId="10" xfId="0" applyAlignment="1" applyBorder="1" applyFill="1" applyFont="1" applyNumberFormat="1">
      <alignment shrinkToFit="0" vertical="bottom" wrapText="0"/>
    </xf>
    <xf borderId="2" fillId="3" fontId="8" numFmtId="2" xfId="0" applyAlignment="1" applyBorder="1" applyFill="1" applyFont="1" applyNumberFormat="1">
      <alignment shrinkToFit="0" vertical="bottom" wrapText="0"/>
    </xf>
    <xf borderId="2" fillId="3" fontId="8" numFmtId="10" xfId="0" applyAlignment="1" applyBorder="1" applyFill="1" applyFont="1" applyNumberFormat="1">
      <alignment readingOrder="0" shrinkToFit="0" vertical="bottom" wrapText="0"/>
    </xf>
    <xf borderId="2" fillId="0" fontId="7" numFmtId="10" xfId="0" applyAlignment="1" applyBorder="1" applyFont="1" applyNumberForma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2" fillId="4" fontId="6" numFmtId="10" xfId="0" applyAlignment="1" applyBorder="1" applyFill="1" applyFont="1" applyNumberFormat="1">
      <alignment shrinkToFit="0" vertical="bottom" wrapText="0"/>
    </xf>
    <xf borderId="2" fillId="0" fontId="6" numFmtId="10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top" wrapText="1"/>
    </xf>
    <xf borderId="2" fillId="0" fontId="7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4" Type="http://schemas.microsoft.com/office/2017/10/relationships/person" Target="persons/person.xml"/><Relationship Id="rId9" Type="http://schemas.openxmlformats.org/officeDocument/2006/relationships/customXml" Target="../customXml/item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E(ri) según Riesgo País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E(ri)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'Sensibilidad CAPM'!$B$5:$B$15</c:f>
            </c:strRef>
          </c:cat>
          <c:val>
            <c:numRef>
              <c:f>'Sensibilidad CAPM'!$C$5:$C$15</c:f>
              <c:numCache/>
            </c:numRef>
          </c:val>
          <c:smooth val="1"/>
        </c:ser>
        <c:axId val="1731803062"/>
        <c:axId val="339484452"/>
      </c:lineChart>
      <c:catAx>
        <c:axId val="1731803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Riesgo País (puntos básicos)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39484452"/>
      </c:catAx>
      <c:valAx>
        <c:axId val="339484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E(ri)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3180306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28575</xdr:rowOff>
    </xdr:from>
    <xdr:ext cx="5210175" cy="30480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8.0"/>
    <col customWidth="1" min="3" max="3" width="4.0"/>
    <col customWidth="1" min="4" max="4" width="55.0"/>
    <col customWidth="1" min="5" max="6" width="8.71"/>
  </cols>
  <sheetData>
    <row r="1" ht="17.2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6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7" t="s">
        <v>9</v>
      </c>
      <c r="B6" s="7" t="s">
        <v>6</v>
      </c>
      <c r="C6" s="3"/>
      <c r="D6" s="8" t="s">
        <v>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9.5" customHeight="1">
      <c r="A7" s="9" t="s">
        <v>8</v>
      </c>
      <c r="B7" s="12">
        <v>0.0472</v>
      </c>
      <c r="C7" s="3"/>
      <c r="D7" s="11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9" t="s">
        <v>15</v>
      </c>
      <c r="B8" s="10">
        <v>0.09</v>
      </c>
      <c r="C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9" t="s">
        <v>17</v>
      </c>
      <c r="B9" s="13">
        <v>1.12</v>
      </c>
      <c r="C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9" t="s">
        <v>19</v>
      </c>
      <c r="B10" s="12">
        <v>0.0505</v>
      </c>
      <c r="C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3"/>
      <c r="C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7" t="s">
        <v>18</v>
      </c>
      <c r="B12" s="7" t="s">
        <v>6</v>
      </c>
      <c r="C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9" t="s">
        <v>20</v>
      </c>
      <c r="B13" s="15">
        <f>B8-B7</f>
        <v>0.0428</v>
      </c>
      <c r="C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9" t="s">
        <v>21</v>
      </c>
      <c r="B14" s="15">
        <f>B9*B13</f>
        <v>0.047936</v>
      </c>
      <c r="C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6" t="s">
        <v>23</v>
      </c>
      <c r="B15" s="17">
        <f>B7+B14+B10</f>
        <v>0.145636</v>
      </c>
      <c r="C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/>
      <c r="B16" s="3"/>
      <c r="C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3"/>
      <c r="C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/>
      <c r="B18" s="3"/>
      <c r="C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D7:D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6" width="14.0"/>
  </cols>
  <sheetData>
    <row r="1" ht="17.25" customHeight="1">
      <c r="A1" s="2" t="s">
        <v>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0" customHeight="1">
      <c r="A2" s="5" t="s">
        <v>41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7" t="s">
        <v>42</v>
      </c>
      <c r="B4" s="7" t="s">
        <v>43</v>
      </c>
      <c r="C4" s="7" t="s">
        <v>22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5">
        <v>0.0</v>
      </c>
      <c r="B5" s="20">
        <v>0.0</v>
      </c>
      <c r="C5" s="18">
        <f>'Calculadora CAPM'!$B$7+'Calculadora CAPM'!$B$14+A5</f>
        <v>0.095136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5">
        <v>0.02</v>
      </c>
      <c r="B6" s="20">
        <v>200.0</v>
      </c>
      <c r="C6" s="18">
        <f>'Calculadora CAPM'!$B$7+'Calculadora CAPM'!$B$14+A6</f>
        <v>0.115136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5">
        <v>0.04</v>
      </c>
      <c r="B7" s="20">
        <v>400.0</v>
      </c>
      <c r="C7" s="18">
        <f>'Calculadora CAPM'!$B$7+'Calculadora CAPM'!$B$14+A7</f>
        <v>0.135136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5">
        <v>0.0505</v>
      </c>
      <c r="B8" s="20">
        <v>505.0</v>
      </c>
      <c r="C8" s="18">
        <f>'Calculadora CAPM'!$B$7+'Calculadora CAPM'!$B$14+A8</f>
        <v>0.145636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15">
        <v>0.06</v>
      </c>
      <c r="B9" s="20">
        <v>600.0</v>
      </c>
      <c r="C9" s="18">
        <f>'Calculadora CAPM'!$B$7+'Calculadora CAPM'!$B$14+A9</f>
        <v>0.155136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5">
        <v>0.08</v>
      </c>
      <c r="B10" s="20">
        <v>800.0</v>
      </c>
      <c r="C10" s="18">
        <f>'Calculadora CAPM'!$B$7+'Calculadora CAPM'!$B$14+A10</f>
        <v>0.175136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15">
        <v>0.1</v>
      </c>
      <c r="B11" s="20">
        <v>1000.0</v>
      </c>
      <c r="C11" s="18">
        <f>'Calculadora CAPM'!$B$7+'Calculadora CAPM'!$B$14+A11</f>
        <v>0.195136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15">
        <v>0.12</v>
      </c>
      <c r="B12" s="20">
        <v>1200.0</v>
      </c>
      <c r="C12" s="18">
        <f>'Calculadora CAPM'!$B$7+'Calculadora CAPM'!$B$14+A12</f>
        <v>0.215136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15">
        <v>0.15</v>
      </c>
      <c r="B13" s="20">
        <v>1500.0</v>
      </c>
      <c r="C13" s="18">
        <f>'Calculadora CAPM'!$B$7+'Calculadora CAPM'!$B$14+A13</f>
        <v>0.245136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15">
        <v>0.18</v>
      </c>
      <c r="B14" s="20">
        <v>1800.0</v>
      </c>
      <c r="C14" s="18">
        <f>'Calculadora CAPM'!$B$7+'Calculadora CAPM'!$B$14+A14</f>
        <v>0.275136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5">
        <v>0.2</v>
      </c>
      <c r="B15" s="20">
        <v>2000.0</v>
      </c>
      <c r="C15" s="18">
        <f>'Calculadora CAPM'!$B$7+'Calculadora CAPM'!$B$14+A15</f>
        <v>0.295136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3.75" customHeight="1">
      <c r="A16" s="5" t="s">
        <v>44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2:E2"/>
    <mergeCell ref="A16:E1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1.29"/>
    <col customWidth="1" min="2" max="2" width="18.0"/>
    <col customWidth="1" min="3" max="3" width="4.0"/>
    <col customWidth="1" min="4" max="4" width="50.0"/>
    <col customWidth="1" min="5" max="6" width="8.71"/>
  </cols>
  <sheetData>
    <row r="1" ht="17.2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4.25" customHeight="1">
      <c r="A2" s="5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7" t="s">
        <v>4</v>
      </c>
      <c r="B4" s="7" t="s">
        <v>6</v>
      </c>
      <c r="C4" s="3"/>
      <c r="D4" s="8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9.75" customHeight="1">
      <c r="A5" s="9" t="s">
        <v>8</v>
      </c>
      <c r="B5" s="10">
        <v>0.043</v>
      </c>
      <c r="C5" s="3"/>
      <c r="D5" s="11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9" t="s">
        <v>12</v>
      </c>
      <c r="B6" s="10">
        <v>0.085</v>
      </c>
      <c r="C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9" t="s">
        <v>13</v>
      </c>
      <c r="B7" s="13">
        <v>1.12</v>
      </c>
      <c r="C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9" t="s">
        <v>16</v>
      </c>
      <c r="B8" s="14">
        <v>0.049</v>
      </c>
      <c r="C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3"/>
      <c r="C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7" t="s">
        <v>18</v>
      </c>
      <c r="B10" s="7" t="s">
        <v>6</v>
      </c>
      <c r="C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9" t="s">
        <v>20</v>
      </c>
      <c r="B11" s="15">
        <f>B6-B5</f>
        <v>0.042</v>
      </c>
      <c r="C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9" t="s">
        <v>21</v>
      </c>
      <c r="B12" s="15">
        <f>B7*B11</f>
        <v>0.04704</v>
      </c>
      <c r="C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16" t="s">
        <v>22</v>
      </c>
      <c r="B13" s="17">
        <f>B5+B12+B8</f>
        <v>0.13904</v>
      </c>
      <c r="C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3"/>
      <c r="C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24</v>
      </c>
      <c r="B15" s="7" t="s">
        <v>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 t="s">
        <v>25</v>
      </c>
      <c r="B16" s="10">
        <v>0.24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 t="s">
        <v>26</v>
      </c>
      <c r="B17" s="15">
        <f>B13-B16</f>
        <v>-0.10096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27</v>
      </c>
      <c r="B19" s="7" t="s">
        <v>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 t="s">
        <v>28</v>
      </c>
      <c r="B20" s="10">
        <v>0.3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9" t="s">
        <v>29</v>
      </c>
      <c r="B21" s="10">
        <v>0.7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9" t="s">
        <v>30</v>
      </c>
      <c r="B22" s="10">
        <v>0.18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9" t="s">
        <v>31</v>
      </c>
      <c r="B23" s="10">
        <v>0.35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9" t="s">
        <v>32</v>
      </c>
      <c r="B24" s="15">
        <f>B22*(1-B23)</f>
        <v>0.117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9" t="s">
        <v>33</v>
      </c>
      <c r="B25" s="15">
        <f>B20*B24</f>
        <v>0.0351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9" t="s">
        <v>34</v>
      </c>
      <c r="B26" s="15">
        <f>B21*B16</f>
        <v>0.168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9" t="s">
        <v>35</v>
      </c>
      <c r="B27" s="15">
        <f>B21*B13</f>
        <v>0.097328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8" t="s">
        <v>36</v>
      </c>
      <c r="B28" s="18">
        <f>B25+B26</f>
        <v>0.2031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6" t="s">
        <v>37</v>
      </c>
      <c r="B29" s="17">
        <f>B25+B27</f>
        <v>0.132428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9" t="s">
        <v>38</v>
      </c>
      <c r="B30" s="15">
        <f>B29-B28</f>
        <v>-0.070672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9" t="s">
        <v>39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2:D2"/>
    <mergeCell ref="D5:D14"/>
    <mergeCell ref="A32:D34"/>
  </mergeCells>
  <printOptions/>
  <pageMargins bottom="1.0" footer="0.0" header="0.0" left="0.75" right="0.75" top="1.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C5835B3077184C82996B99E3C1ECA1" ma:contentTypeVersion="3" ma:contentTypeDescription="Crear nuevo documento." ma:contentTypeScope="" ma:versionID="2d129ccc9c0c68f6f930f7424fead56e">
  <xsd:schema xmlns:xsd="http://www.w3.org/2001/XMLSchema" xmlns:xs="http://www.w3.org/2001/XMLSchema" xmlns:p="http://schemas.microsoft.com/office/2006/metadata/properties" xmlns:ns2="1b023ac7-f195-477c-a52e-87eacc0274da" targetNamespace="http://schemas.microsoft.com/office/2006/metadata/properties" ma:root="true" ma:fieldsID="ab82dc17f4a81419fac1c881e2acec3d" ns2:_="">
    <xsd:import namespace="1b023ac7-f195-477c-a52e-87eacc027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23ac7-f195-477c-a52e-87eacc027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331597-BE99-4468-873A-1B7375F87D7D}"/>
</file>

<file path=customXml/itemProps2.xml><?xml version="1.0" encoding="utf-8"?>
<ds:datastoreItem xmlns:ds="http://schemas.openxmlformats.org/officeDocument/2006/customXml" ds:itemID="{6697705D-CB1A-46FE-A0D8-8441D85BD9E5}"/>
</file>

<file path=customXml/itemProps3.xml><?xml version="1.0" encoding="utf-8"?>
<ds:datastoreItem xmlns:ds="http://schemas.openxmlformats.org/officeDocument/2006/customXml" ds:itemID="{AB520B90-D33E-471F-BFCD-1EFFB266E32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0x010100A7C5835B3077184C82996B99E3C1ECA1</vt:lpwstr>
  </property>
</Properties>
</file>