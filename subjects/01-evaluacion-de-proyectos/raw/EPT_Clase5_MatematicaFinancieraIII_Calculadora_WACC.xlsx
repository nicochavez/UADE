
<file path=[Content_Types].xml><?xml version="1.0" encoding="utf-8"?>
<Types xmlns="http://schemas.openxmlformats.org/package/2006/content-types">
  <Default Extension="odttf" ContentType="application/vnd.openxmlformats-officedocument.obfuscatedFont"/>
  <Default Extension="png" ContentType="image/png"/>
  <Default Extension="rels" ContentType="application/vnd.openxmlformats-package.relationships+xml"/>
  <Default Extension="xml" ContentType="application/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persons/person.xml" ContentType="application/vnd.ms-excel.person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culadora WACC" sheetId="1" r:id="rId5"/>
    <sheet state="visible" name="Sensibilidad WACC" sheetId="2" r:id="rId6"/>
    <sheet state="visible" name="Ejercitación" sheetId="3" r:id="rId7"/>
  </sheets>
  <definedNames/>
  <calcPr/>
</workbook>
</file>

<file path=xl/sharedStrings.xml><?xml version="1.0" encoding="utf-8"?>
<sst xmlns="http://schemas.openxmlformats.org/spreadsheetml/2006/main" count="51" uniqueCount="43">
  <si>
    <t>Ejercitación: empresa de desarrollo de software</t>
  </si>
  <si>
    <t>Calculadora de WACC</t>
  </si>
  <si>
    <t>Una empresa de desarrollo de software requiere evaluar el costo de su estructura de capital para la toma de decisiones estratégicas de inversión.</t>
  </si>
  <si>
    <t>Evaluación de Proyectos de Tecnología, UADE</t>
  </si>
  <si>
    <t>Dato del enunciado</t>
  </si>
  <si>
    <t>Celdas amarillas: editar. Celdas blancas: fórmulas, no tocar.</t>
  </si>
  <si>
    <t>Dato</t>
  </si>
  <si>
    <t>Valor</t>
  </si>
  <si>
    <t>Consignas</t>
  </si>
  <si>
    <t>Notas</t>
  </si>
  <si>
    <t>Valor total del Activo</t>
  </si>
  <si>
    <t>Deuda (D)</t>
  </si>
  <si>
    <t>1. Calcular el costo de la deuda neto de efectos impositivos (Kp).
2. Aplicar la fórmula del WACC ponderando ambas fuentes de financiamiento.</t>
  </si>
  <si>
    <t>Los valores precargados son el ejemplo numérico de la clase: 
Activo $100
financiado con Deuda $80 y Patrimonio Neto $20
Ke = 27%
Kd = 20%
t = 35%. 
WACC esperado: 15,8%.</t>
  </si>
  <si>
    <t>Deuda bancaria (% del total)</t>
  </si>
  <si>
    <t>Patrimonio Neto o Capital propio (PN)</t>
  </si>
  <si>
    <t>Tasa exigida por accionistas (Ke)</t>
  </si>
  <si>
    <t>Capital propio (% del total)</t>
  </si>
  <si>
    <t>Rendimiento de accionistas (Ke)</t>
  </si>
  <si>
    <t>Tasa de interés bancaria (Tp)</t>
  </si>
  <si>
    <t>Tasa de la deuda antes de impuestos (Kd)</t>
  </si>
  <si>
    <t>Impuesto a las ganancias (Tiigg)</t>
  </si>
  <si>
    <t>Tasa de impuesto a las ganancias (t)</t>
  </si>
  <si>
    <t>Paso 1: costo de la deuda neto de impuestos</t>
  </si>
  <si>
    <t>Kp = Tp × (1 - Tiigg)</t>
  </si>
  <si>
    <t>Resultado</t>
  </si>
  <si>
    <t>Fórmula usada</t>
  </si>
  <si>
    <t>Costo de la deuda neto de impuestos (Kp = Kd × (1-t))</t>
  </si>
  <si>
    <t>Paso 2: ponderación</t>
  </si>
  <si>
    <t>Peso de la Deuda: D / (D+PN)</t>
  </si>
  <si>
    <t>Deuda ponderada: %Deuda × Kp</t>
  </si>
  <si>
    <t>Capital ponderado: %Capital × Ke</t>
  </si>
  <si>
    <t>Peso del Capital propio: PN / (D+PN)</t>
  </si>
  <si>
    <t>WACC</t>
  </si>
  <si>
    <t>Deuda ponderada: peso D × Kp</t>
  </si>
  <si>
    <t>Capital ponderado: peso PN × Ke</t>
  </si>
  <si>
    <t>Sensibilidad del WACC según proporción de Deuda</t>
  </si>
  <si>
    <t>Mantiene fijas Ke, Kd y t de la hoja anterior y varía el peso de la Deuda de 0% a 100% para mostrar el efecto del apalancamiento sobre el WACC.</t>
  </si>
  <si>
    <t>% Deuda sobre el total</t>
  </si>
  <si>
    <t>% Capital propio</t>
  </si>
  <si>
    <t>Deuda ponderada</t>
  </si>
  <si>
    <t>Capital ponderado</t>
  </si>
  <si>
    <t>Para usar otro escenario, cambiá Ke, Kd o t en la hoja 'Calculadora WACC': esta tabla se recalcula sola.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</si>
</sst>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\$#,##0"/>
    <numFmt numFmtId="165" formatCode="0.0%"/>
  </numFmts>
  <fonts count="8">
    <font>
      <sz val="11.0"/>
      <color theme="1"/>
      <name val="Calibri"/>
      <scheme val="minor"/>
    </font>
    <font>
      <b/>
      <sz val="14.0"/>
      <color rgb="FF1F3864"/>
      <name val="Arial"/>
    </font>
    <font>
      <i/>
      <sz val="12.0"/>
      <color rgb="FF595959"/>
      <name val="Arial"/>
    </font>
    <font>
      <i/>
      <sz val="9.0"/>
      <color rgb="FF595959"/>
      <name val="Arial"/>
    </font>
    <font>
      <b/>
      <sz val="12.0"/>
      <color rgb="FFFFFFFF"/>
      <name val="Arial"/>
    </font>
    <font>
      <b/>
      <sz val="11.0"/>
      <color rgb="FF000000"/>
      <name val="Arial"/>
    </font>
    <font>
      <sz val="11.0"/>
      <color rgb="FF000000"/>
      <name val="Arial"/>
    </font>
    <font>
      <sz val="11.0"/>
      <color rgb="FF0000F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FFF00"/>
        <bgColor rgb="FFFFFF00"/>
      </patternFill>
    </fill>
    <fill>
      <patternFill patternType="solid">
        <fgColor rgb="FFD9E2F3"/>
        <bgColor rgb="FFD9E2F3"/>
      </patternFill>
    </fill>
  </fills>
  <borders count="3">
    <border/>
    <border>
      <left/>
      <right/>
      <top/>
      <bottom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1"/>
    </xf>
    <xf borderId="0" fillId="0" fontId="3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2" fontId="4" numFmtId="0" xfId="0" applyAlignment="1" applyBorder="1" applyFill="1" applyFont="1">
      <alignment horizontal="center" shrinkToFit="0" vertical="center" wrapText="0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2" fillId="3" fontId="7" numFmtId="164" xfId="0" applyAlignment="1" applyBorder="1" applyFill="1" applyFont="1" applyNumberFormat="1">
      <alignment shrinkToFit="0" vertical="bottom" wrapText="0"/>
    </xf>
    <xf borderId="0" fillId="0" fontId="2" numFmtId="0" xfId="0" applyAlignment="1" applyFont="1">
      <alignment shrinkToFit="0" vertical="top" wrapText="1"/>
    </xf>
    <xf borderId="2" fillId="3" fontId="7" numFmtId="165" xfId="0" applyAlignment="1" applyBorder="1" applyFill="1" applyFont="1" applyNumberFormat="1">
      <alignment shrinkToFit="0" vertical="bottom" wrapText="0"/>
    </xf>
    <xf borderId="2" fillId="0" fontId="6" numFmtId="10" xfId="0" applyAlignment="1" applyBorder="1" applyFont="1" applyNumberFormat="1">
      <alignment shrinkToFit="0" vertical="bottom" wrapText="0"/>
    </xf>
    <xf borderId="2" fillId="0" fontId="6" numFmtId="165" xfId="0" applyAlignment="1" applyBorder="1" applyFont="1" applyNumberFormat="1">
      <alignment shrinkToFit="0" vertical="bottom" wrapText="0"/>
    </xf>
    <xf borderId="1" fillId="4" fontId="5" numFmtId="0" xfId="0" applyAlignment="1" applyBorder="1" applyFill="1" applyFont="1">
      <alignment shrinkToFit="0" vertical="bottom" wrapText="0"/>
    </xf>
    <xf borderId="2" fillId="4" fontId="5" numFmtId="10" xfId="0" applyAlignment="1" applyBorder="1" applyFill="1" applyFont="1" applyNumberFormat="1">
      <alignment shrinkToFit="0" vertical="bottom" wrapText="0"/>
    </xf>
    <xf borderId="2" fillId="0" fontId="5" numFmtId="10" xfId="0" applyAlignment="1" applyBorder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sharedStrings" Target="sharedStrings.xml"/><Relationship Id="rId7" Type="http://schemas.openxmlformats.org/officeDocument/2006/relationships/worksheet" Target="worksheets/sheet3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worksheet" Target="worksheets/sheet2.xml"/><Relationship Id="rId5" Type="http://schemas.openxmlformats.org/officeDocument/2006/relationships/worksheet" Target="worksheets/sheet1.xml"/><Relationship Id="rId10" Type="http://schemas.openxmlformats.org/officeDocument/2006/relationships/customXml" Target="../customXml/item3.xml"/><Relationship Id="rId4" Type="http://schemas.microsoft.com/office/2017/10/relationships/person" Target="persons/person.xml"/><Relationship Id="rId9" Type="http://schemas.openxmlformats.org/officeDocument/2006/relationships/customXml" Target="../customXml/item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WACC según % de Deuda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WACC</c:v>
          </c:tx>
          <c:spPr>
            <a:ln cmpd="sng" w="19050">
              <a:solidFill>
                <a:srgbClr val="4A7EBB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'Sensibilidad WACC'!$A$5:$A$15</c:f>
            </c:strRef>
          </c:cat>
          <c:val>
            <c:numRef>
              <c:f>'Sensibilidad WACC'!$E$5:$E$15</c:f>
              <c:numCache/>
            </c:numRef>
          </c:val>
          <c:smooth val="1"/>
        </c:ser>
        <c:axId val="2115438074"/>
        <c:axId val="24015841"/>
      </c:lineChart>
      <c:catAx>
        <c:axId val="21154380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% Deuda sobre el total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4015841"/>
      </c:catAx>
      <c:valAx>
        <c:axId val="240158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WACC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115438074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266700</xdr:colOff>
      <xdr:row>14</xdr:row>
      <xdr:rowOff>0</xdr:rowOff>
    </xdr:from>
    <xdr:ext cx="3905250" cy="6191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16</xdr:row>
      <xdr:rowOff>114300</xdr:rowOff>
    </xdr:from>
    <xdr:ext cx="5200650" cy="30480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6.14"/>
    <col customWidth="1" min="2" max="2" width="18.0"/>
    <col customWidth="1" min="3" max="3" width="4.0"/>
    <col customWidth="1" min="4" max="4" width="55.71"/>
    <col customWidth="1" min="5" max="6" width="8.71"/>
  </cols>
  <sheetData>
    <row r="1">
      <c r="A1" s="1" t="s">
        <v>1</v>
      </c>
    </row>
    <row r="2">
      <c r="A2" s="3" t="s">
        <v>3</v>
      </c>
    </row>
    <row r="4">
      <c r="A4" s="4" t="s">
        <v>5</v>
      </c>
    </row>
    <row r="6">
      <c r="A6" s="5" t="s">
        <v>6</v>
      </c>
      <c r="B6" s="5" t="s">
        <v>7</v>
      </c>
      <c r="D6" s="6" t="s">
        <v>9</v>
      </c>
    </row>
    <row r="7" ht="45.0" customHeight="1">
      <c r="A7" s="7" t="s">
        <v>11</v>
      </c>
      <c r="B7" s="8">
        <v>80.0</v>
      </c>
      <c r="D7" s="9" t="s">
        <v>13</v>
      </c>
    </row>
    <row r="8">
      <c r="A8" s="7" t="s">
        <v>15</v>
      </c>
      <c r="B8" s="8">
        <v>20.0</v>
      </c>
    </row>
    <row r="9">
      <c r="A9" s="7" t="s">
        <v>16</v>
      </c>
      <c r="B9" s="10">
        <v>0.27</v>
      </c>
    </row>
    <row r="10">
      <c r="A10" s="7" t="s">
        <v>20</v>
      </c>
      <c r="B10" s="10">
        <v>0.2</v>
      </c>
    </row>
    <row r="11" ht="36.0" customHeight="1">
      <c r="A11" s="7" t="s">
        <v>22</v>
      </c>
      <c r="B11" s="10">
        <v>0.35</v>
      </c>
    </row>
    <row r="14">
      <c r="A14" s="5" t="s">
        <v>25</v>
      </c>
      <c r="B14" s="5" t="s">
        <v>7</v>
      </c>
      <c r="D14" s="6" t="s">
        <v>26</v>
      </c>
    </row>
    <row r="15" ht="15.0" customHeight="1">
      <c r="A15" s="7" t="s">
        <v>27</v>
      </c>
      <c r="B15" s="11">
        <f>B10*(1-B11)</f>
        <v>0.13</v>
      </c>
      <c r="D15" s="9"/>
    </row>
    <row r="16">
      <c r="A16" s="7" t="s">
        <v>29</v>
      </c>
      <c r="B16" s="12">
        <f>B7/(B7+B8)</f>
        <v>0.8</v>
      </c>
    </row>
    <row r="17">
      <c r="A17" s="7" t="s">
        <v>32</v>
      </c>
      <c r="B17" s="12">
        <f>B8/(B7+B8)</f>
        <v>0.2</v>
      </c>
    </row>
    <row r="18">
      <c r="A18" s="7" t="s">
        <v>34</v>
      </c>
      <c r="B18" s="11">
        <f>B16*B15</f>
        <v>0.104</v>
      </c>
    </row>
    <row r="19">
      <c r="A19" s="7" t="s">
        <v>35</v>
      </c>
      <c r="B19" s="11">
        <f>B17*B9</f>
        <v>0.054</v>
      </c>
    </row>
    <row r="20">
      <c r="A20" s="13" t="s">
        <v>33</v>
      </c>
      <c r="B20" s="14">
        <f>B18+B19</f>
        <v>0.158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D7:D11"/>
    <mergeCell ref="D15:D17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5.86"/>
    <col customWidth="1" min="2" max="2" width="20.86"/>
    <col customWidth="1" min="3" max="3" width="20.57"/>
    <col customWidth="1" min="4" max="4" width="21.86"/>
    <col customWidth="1" min="5" max="5" width="24.0"/>
    <col customWidth="1" min="6" max="7" width="14.0"/>
  </cols>
  <sheetData>
    <row r="1">
      <c r="A1" s="1" t="s">
        <v>36</v>
      </c>
    </row>
    <row r="2" ht="30.0" customHeight="1">
      <c r="A2" s="2" t="s">
        <v>37</v>
      </c>
    </row>
    <row r="4">
      <c r="A4" s="5" t="s">
        <v>38</v>
      </c>
      <c r="B4" s="5" t="s">
        <v>39</v>
      </c>
      <c r="C4" s="5" t="s">
        <v>40</v>
      </c>
      <c r="D4" s="5" t="s">
        <v>41</v>
      </c>
      <c r="E4" s="5" t="s">
        <v>33</v>
      </c>
    </row>
    <row r="5">
      <c r="A5" s="12">
        <v>0.0</v>
      </c>
      <c r="B5" s="12">
        <f t="shared" ref="B5:B15" si="1">1-A5</f>
        <v>1</v>
      </c>
      <c r="C5" s="11">
        <f>A5*'Calculadora WACC'!$B$15</f>
        <v>0</v>
      </c>
      <c r="D5" s="11">
        <f>B5*'Calculadora WACC'!$B$9</f>
        <v>0.27</v>
      </c>
      <c r="E5" s="15">
        <f t="shared" ref="E5:E15" si="2">C5+D5</f>
        <v>0.27</v>
      </c>
    </row>
    <row r="6">
      <c r="A6" s="12">
        <v>0.1</v>
      </c>
      <c r="B6" s="12">
        <f t="shared" si="1"/>
        <v>0.9</v>
      </c>
      <c r="C6" s="11">
        <f>A6*'Calculadora WACC'!$B$15</f>
        <v>0.013</v>
      </c>
      <c r="D6" s="11">
        <f>B6*'Calculadora WACC'!$B$9</f>
        <v>0.243</v>
      </c>
      <c r="E6" s="15">
        <f t="shared" si="2"/>
        <v>0.256</v>
      </c>
    </row>
    <row r="7">
      <c r="A7" s="12">
        <v>0.2</v>
      </c>
      <c r="B7" s="12">
        <f t="shared" si="1"/>
        <v>0.8</v>
      </c>
      <c r="C7" s="11">
        <f>A7*'Calculadora WACC'!$B$15</f>
        <v>0.026</v>
      </c>
      <c r="D7" s="11">
        <f>B7*'Calculadora WACC'!$B$9</f>
        <v>0.216</v>
      </c>
      <c r="E7" s="15">
        <f t="shared" si="2"/>
        <v>0.242</v>
      </c>
    </row>
    <row r="8">
      <c r="A8" s="12">
        <v>0.3</v>
      </c>
      <c r="B8" s="12">
        <f t="shared" si="1"/>
        <v>0.7</v>
      </c>
      <c r="C8" s="11">
        <f>A8*'Calculadora WACC'!$B$15</f>
        <v>0.039</v>
      </c>
      <c r="D8" s="11">
        <f>B8*'Calculadora WACC'!$B$9</f>
        <v>0.189</v>
      </c>
      <c r="E8" s="15">
        <f t="shared" si="2"/>
        <v>0.228</v>
      </c>
    </row>
    <row r="9">
      <c r="A9" s="12">
        <v>0.4</v>
      </c>
      <c r="B9" s="12">
        <f t="shared" si="1"/>
        <v>0.6</v>
      </c>
      <c r="C9" s="11">
        <f>A9*'Calculadora WACC'!$B$15</f>
        <v>0.052</v>
      </c>
      <c r="D9" s="11">
        <f>B9*'Calculadora WACC'!$B$9</f>
        <v>0.162</v>
      </c>
      <c r="E9" s="15">
        <f t="shared" si="2"/>
        <v>0.214</v>
      </c>
    </row>
    <row r="10">
      <c r="A10" s="12">
        <v>0.5</v>
      </c>
      <c r="B10" s="12">
        <f t="shared" si="1"/>
        <v>0.5</v>
      </c>
      <c r="C10" s="11">
        <f>A10*'Calculadora WACC'!$B$15</f>
        <v>0.065</v>
      </c>
      <c r="D10" s="11">
        <f>B10*'Calculadora WACC'!$B$9</f>
        <v>0.135</v>
      </c>
      <c r="E10" s="15">
        <f t="shared" si="2"/>
        <v>0.2</v>
      </c>
    </row>
    <row r="11">
      <c r="A11" s="12">
        <v>0.6</v>
      </c>
      <c r="B11" s="12">
        <f t="shared" si="1"/>
        <v>0.4</v>
      </c>
      <c r="C11" s="11">
        <f>A11*'Calculadora WACC'!$B$15</f>
        <v>0.078</v>
      </c>
      <c r="D11" s="11">
        <f>B11*'Calculadora WACC'!$B$9</f>
        <v>0.108</v>
      </c>
      <c r="E11" s="15">
        <f t="shared" si="2"/>
        <v>0.186</v>
      </c>
    </row>
    <row r="12">
      <c r="A12" s="12">
        <v>0.7</v>
      </c>
      <c r="B12" s="12">
        <f t="shared" si="1"/>
        <v>0.3</v>
      </c>
      <c r="C12" s="11">
        <f>A12*'Calculadora WACC'!$B$15</f>
        <v>0.091</v>
      </c>
      <c r="D12" s="11">
        <f>B12*'Calculadora WACC'!$B$9</f>
        <v>0.081</v>
      </c>
      <c r="E12" s="15">
        <f t="shared" si="2"/>
        <v>0.172</v>
      </c>
    </row>
    <row r="13">
      <c r="A13" s="12">
        <v>0.8</v>
      </c>
      <c r="B13" s="12">
        <f t="shared" si="1"/>
        <v>0.2</v>
      </c>
      <c r="C13" s="11">
        <f>A13*'Calculadora WACC'!$B$15</f>
        <v>0.104</v>
      </c>
      <c r="D13" s="11">
        <f>B13*'Calculadora WACC'!$B$9</f>
        <v>0.054</v>
      </c>
      <c r="E13" s="15">
        <f t="shared" si="2"/>
        <v>0.158</v>
      </c>
    </row>
    <row r="14">
      <c r="A14" s="12">
        <v>0.9</v>
      </c>
      <c r="B14" s="12">
        <f t="shared" si="1"/>
        <v>0.1</v>
      </c>
      <c r="C14" s="11">
        <f>A14*'Calculadora WACC'!$B$15</f>
        <v>0.117</v>
      </c>
      <c r="D14" s="11">
        <f>B14*'Calculadora WACC'!$B$9</f>
        <v>0.027</v>
      </c>
      <c r="E14" s="15">
        <f t="shared" si="2"/>
        <v>0.144</v>
      </c>
    </row>
    <row r="15">
      <c r="A15" s="12">
        <v>1.0</v>
      </c>
      <c r="B15" s="12">
        <f t="shared" si="1"/>
        <v>0</v>
      </c>
      <c r="C15" s="11">
        <f>A15*'Calculadora WACC'!$B$15</f>
        <v>0.13</v>
      </c>
      <c r="D15" s="11">
        <f>B15*'Calculadora WACC'!$B$9</f>
        <v>0</v>
      </c>
      <c r="E15" s="15">
        <f t="shared" si="2"/>
        <v>0.13</v>
      </c>
    </row>
    <row r="16" ht="15.0" customHeight="1">
      <c r="A16" s="2" t="s">
        <v>42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G2"/>
    <mergeCell ref="A16:G16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6.29"/>
    <col customWidth="1" min="2" max="2" width="18.0"/>
    <col customWidth="1" min="3" max="3" width="4.0"/>
    <col customWidth="1" min="4" max="4" width="50.0"/>
    <col customWidth="1" min="5" max="6" width="8.71"/>
  </cols>
  <sheetData>
    <row r="1">
      <c r="A1" s="1" t="s">
        <v>0</v>
      </c>
    </row>
    <row r="2" ht="30.0" customHeight="1">
      <c r="A2" s="2" t="s">
        <v>2</v>
      </c>
    </row>
    <row r="4">
      <c r="A4" s="5" t="s">
        <v>4</v>
      </c>
      <c r="B4" s="5" t="s">
        <v>7</v>
      </c>
      <c r="D4" s="6" t="s">
        <v>8</v>
      </c>
    </row>
    <row r="5" ht="60.0" customHeight="1">
      <c r="A5" s="7" t="s">
        <v>10</v>
      </c>
      <c r="B5" s="8">
        <v>250000.0</v>
      </c>
      <c r="D5" s="9" t="s">
        <v>12</v>
      </c>
    </row>
    <row r="6">
      <c r="A6" s="7" t="s">
        <v>14</v>
      </c>
      <c r="B6" s="10">
        <v>0.3</v>
      </c>
    </row>
    <row r="7">
      <c r="A7" s="7" t="s">
        <v>17</v>
      </c>
      <c r="B7" s="10">
        <v>0.7</v>
      </c>
    </row>
    <row r="8">
      <c r="A8" s="7" t="s">
        <v>18</v>
      </c>
      <c r="B8" s="10">
        <v>0.24</v>
      </c>
    </row>
    <row r="9">
      <c r="A9" s="7" t="s">
        <v>19</v>
      </c>
      <c r="B9" s="10">
        <v>0.18</v>
      </c>
    </row>
    <row r="10">
      <c r="A10" s="7" t="s">
        <v>21</v>
      </c>
      <c r="B10" s="10">
        <v>0.35</v>
      </c>
    </row>
    <row r="12">
      <c r="A12" s="5" t="s">
        <v>23</v>
      </c>
      <c r="B12" s="5" t="s">
        <v>7</v>
      </c>
    </row>
    <row r="13">
      <c r="A13" s="7" t="s">
        <v>24</v>
      </c>
      <c r="B13" s="11">
        <f>B9*(1-B10)</f>
        <v>0.117</v>
      </c>
    </row>
    <row r="15">
      <c r="A15" s="5" t="s">
        <v>28</v>
      </c>
      <c r="B15" s="5" t="s">
        <v>7</v>
      </c>
    </row>
    <row r="16">
      <c r="A16" s="7" t="s">
        <v>30</v>
      </c>
      <c r="B16" s="11">
        <f>B6*B13</f>
        <v>0.0351</v>
      </c>
    </row>
    <row r="17">
      <c r="A17" s="7" t="s">
        <v>31</v>
      </c>
      <c r="B17" s="11">
        <f>B7*B8</f>
        <v>0.168</v>
      </c>
    </row>
    <row r="19">
      <c r="A19" s="5" t="s">
        <v>25</v>
      </c>
      <c r="B19" s="5" t="s">
        <v>7</v>
      </c>
    </row>
    <row r="20">
      <c r="A20" s="13" t="s">
        <v>33</v>
      </c>
      <c r="B20" s="14">
        <f>B16+B17</f>
        <v>0.2031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D2"/>
    <mergeCell ref="D5:D10"/>
  </mergeCells>
  <printOptions/>
  <pageMargins bottom="1.0" footer="0.0" header="0.0" left="0.75" right="0.75" top="1.0"/>
  <pageSetup paperSize="9" orientation="portrait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7C5835B3077184C82996B99E3C1ECA1" ma:contentTypeVersion="3" ma:contentTypeDescription="Crear nuevo documento." ma:contentTypeScope="" ma:versionID="2d129ccc9c0c68f6f930f7424fead56e">
  <xsd:schema xmlns:xsd="http://www.w3.org/2001/XMLSchema" xmlns:xs="http://www.w3.org/2001/XMLSchema" xmlns:p="http://schemas.microsoft.com/office/2006/metadata/properties" xmlns:ns2="1b023ac7-f195-477c-a52e-87eacc0274da" targetNamespace="http://schemas.microsoft.com/office/2006/metadata/properties" ma:root="true" ma:fieldsID="ab82dc17f4a81419fac1c881e2acec3d" ns2:_="">
    <xsd:import namespace="1b023ac7-f195-477c-a52e-87eacc0274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023ac7-f195-477c-a52e-87eacc0274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BBA394F-B3DC-4975-BFD8-5AA51892B1EC}"/>
</file>

<file path=customXml/itemProps2.xml><?xml version="1.0" encoding="utf-8"?>
<ds:datastoreItem xmlns:ds="http://schemas.openxmlformats.org/officeDocument/2006/customXml" ds:itemID="{3669E61E-173E-4F50-B8F8-AA522E7390EA}"/>
</file>

<file path=customXml/itemProps3.xml><?xml version="1.0" encoding="utf-8"?>
<ds:datastoreItem xmlns:ds="http://schemas.openxmlformats.org/officeDocument/2006/customXml" ds:itemID="{A08424B1-72C6-4904-B270-09398FAA3423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0x010100A7C5835B3077184C82996B99E3C1ECA1</vt:lpwstr>
  </property>
</Properties>
</file>