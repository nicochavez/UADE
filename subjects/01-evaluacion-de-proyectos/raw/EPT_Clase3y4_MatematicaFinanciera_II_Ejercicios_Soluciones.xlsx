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Ej1_FlujoDeFondos" sheetId="2" r:id="rId6"/>
    <sheet state="visible" name="Ej2_ROI_Payback" sheetId="3" r:id="rId7"/>
    <sheet state="visible" name="Ej3_VAN_IR" sheetId="4" r:id="rId8"/>
    <sheet state="visible" name="Ej4_TIR" sheetId="5" r:id="rId9"/>
  </sheets>
  <definedNames/>
  <calcPr/>
</workbook>
</file>

<file path=xl/sharedStrings.xml><?xml version="1.0" encoding="utf-8"?>
<sst xmlns="http://schemas.openxmlformats.org/spreadsheetml/2006/main" count="72" uniqueCount="46">
  <si>
    <t>MATEMATICA FINANCIERA - PARTE II  |  Guia de ejercicios en Excel</t>
  </si>
  <si>
    <t>EJERCICIO 2 - ROI y Repago Simple</t>
  </si>
  <si>
    <t>EJERCICIO 1 - Flujo de Fondos y Evaluación Financiera</t>
  </si>
  <si>
    <t>EJERCICIO 3 - VAN e IR</t>
  </si>
  <si>
    <t>Inversión inicial ($)</t>
  </si>
  <si>
    <t>Codigo de colores (se mantiene en todas las hojas)</t>
  </si>
  <si>
    <t>Enunciado: inversión inicial $15.000, flujos de $4.000, $5.000, $5.000, $6.000 y $6.000 en 5 años, tasa 12%.</t>
  </si>
  <si>
    <t>Texto azul: Dato de entrada (input). Es el unico tipo de celda que deberían modificar.</t>
  </si>
  <si>
    <t>Enunciado: inversión inicial $25.000, con flujos de $8.000, $8.000, $9.000 y $9.000 en los 4 años siguientes.</t>
  </si>
  <si>
    <t>Tasa de descuento anual</t>
  </si>
  <si>
    <t>Texto negro: Fórmula. Se recalcula sola. No la sobreescriban.</t>
  </si>
  <si>
    <t>Período</t>
  </si>
  <si>
    <t>Texto verde: Fórmula que trae un dato de OTRA hoja del mismo libro.</t>
  </si>
  <si>
    <t>Celdas azules = datos de entrada. El resto son formulas: no las sobreescriban.</t>
  </si>
  <si>
    <t>Periodo</t>
  </si>
  <si>
    <t>Flujo de Fondos</t>
  </si>
  <si>
    <t>Flujo Descontado</t>
  </si>
  <si>
    <t>Acumulado Nominal</t>
  </si>
  <si>
    <t>Acumulado Descontado</t>
  </si>
  <si>
    <t>Relleno amarillo: Dato clave a completar o supuesto que deben confirmar</t>
  </si>
  <si>
    <t>Enunciados completos</t>
  </si>
  <si>
    <t>Ejercicio 1</t>
  </si>
  <si>
    <t>Un proyecto de software requiere una inversión inicial de $18.000. Se estima que generará flujos de fondos netos de $5.000, $6.000, $6.000 y $7.000 en los cuatro años siguientes. La tasa de descuento exigida por la empresa es del 15% anual. Calcular ROI, Repago simple, VAN, IR, TIR y Repago Descontado. Redactar una conclusión indicando si el proyecto conviene.</t>
  </si>
  <si>
    <t>Ejercicio 2</t>
  </si>
  <si>
    <t>Un proyecto requiere una inversión inicial de $25.000 y genera flujos de fondos de $8.000, $8.000, $9.000 y $9.000 en los cuatro años siguientes. Calcular el ROI y el período de Repago simple.</t>
  </si>
  <si>
    <t>Ejercicio 3</t>
  </si>
  <si>
    <t>Un proyecto requiere una inversión inicial de $15.000 y genera flujos de fondos de $4.000, $5.000, $5.000, $6.000 y $6.000 en los cinco años siguientes. La tasa de descuento exigida es del 12% anual. Calcular el VAN y el IR e indicar si el proyecto conviene.</t>
  </si>
  <si>
    <t>Ejercicio 4</t>
  </si>
  <si>
    <t>Un proyecto requiere una inversión inicial de $20.000 y genera flujos de fondos de $7.000 anuales durante 4 años. Calcular la TIR del proyecto (usando la funcion =TIR() en Excel). Si la tasa exigida por la empresa es del 18% anual, indicar si el proyecto conviene, comparando la TIR contra esa tasa.</t>
  </si>
  <si>
    <t>Este ejercicio no usa tasa de descuento (columnas de flujo/ acumulado descontado quedan iguales a las nominales).</t>
  </si>
  <si>
    <t>Resultados</t>
  </si>
  <si>
    <t>ROI</t>
  </si>
  <si>
    <t>VAN</t>
  </si>
  <si>
    <t>Repago simple (años)</t>
  </si>
  <si>
    <t>IR</t>
  </si>
  <si>
    <t>Conclusión: como el VAN es positivo (y el IR tambien) el proyecto SI conviene a la tasa del 12%.</t>
  </si>
  <si>
    <t>TIR</t>
  </si>
  <si>
    <t>Repago Descontado (años)</t>
  </si>
  <si>
    <t>Conclusión</t>
  </si>
  <si>
    <t>El proyecto NO conviene. Aunque el ROI (33,3%) y el Repago simple de poco más de 3 años parecen razonables a primera vista, el VAN da negativo (-$1.168) y la TIR (11,9%) queda por debajo de la tasa exigida por la empresa (15%). Esto significa que el proyecto rinde menos de lo que la empresa necesita para que valga la pena y por eso destruye valor en términos actuales (IR negativo, -6,5%).</t>
  </si>
  <si>
    <t>Formulas usadas: ROI = suma de ingresos / Inversion - 1  |  VAN = suma de flujos descontados (incluye periodo 0)  |  IR = VAN / Inversion  |  TIR = funcion IRR().</t>
  </si>
  <si>
    <t>EJERCICIO 4 - TIR vs. tasa exigida</t>
  </si>
  <si>
    <t>Enunciado: inversión inicial $20.000, flujos de $7.000 anuales durante 4 años. Tasa exigida por la empresa: 18%.</t>
  </si>
  <si>
    <t>Tasa exigida por la empresa</t>
  </si>
  <si>
    <t>VAN a la tasa exigida (18%)</t>
  </si>
  <si>
    <t>Conclusión: como la TIR (15%) es menor a la tasa exigida (18%) el proyecto no conviene: el VAN a esa tasa da negativo.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</si>
</sst>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;&quot;($&quot;#,##0\);\-"/>
    <numFmt numFmtId="165" formatCode="0.0%"/>
  </numFmts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000000"/>
      <name val="Arial"/>
    </font>
    <font>
      <i/>
      <sz val="9.0"/>
      <color rgb="FF595959"/>
      <name val="Arial"/>
    </font>
    <font>
      <sz val="11.0"/>
      <color rgb="FF0000FF"/>
      <name val="Arial"/>
    </font>
    <font>
      <sz val="11.0"/>
      <color rgb="FF000000"/>
      <name val="Arial"/>
    </font>
    <font>
      <b/>
      <sz val="11.0"/>
      <color rgb="FFFFFFFF"/>
      <name val="Arial"/>
    </font>
    <font>
      <sz val="11.0"/>
      <color rgb="FF008000"/>
      <name val="Arial"/>
    </font>
    <font>
      <i/>
      <sz val="11.0"/>
      <color rgb="FF1E2761"/>
      <name val="Arial"/>
    </font>
    <font>
      <i/>
      <sz val="11.0"/>
      <color rgb="FF7F6000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E2761"/>
        <bgColor rgb="FF1E2761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11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  <border>
      <left/>
    </border>
    <border>
      <right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5" numFmtId="165" xfId="0" applyAlignment="1" applyFont="1" applyNumberFormat="1">
      <alignment shrinkToFit="0" vertical="bottom" wrapText="0"/>
    </xf>
    <xf borderId="7" fillId="3" fontId="7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shrinkToFit="0" vertical="bottom" wrapText="0"/>
    </xf>
    <xf borderId="7" fillId="3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readingOrder="0" shrinkToFit="0" vertical="bottom" wrapText="0"/>
    </xf>
    <xf borderId="7" fillId="0" fontId="6" numFmtId="0" xfId="0" applyAlignment="1" applyBorder="1" applyFont="1">
      <alignment horizontal="center" shrinkToFit="0" vertical="bottom" wrapText="0"/>
    </xf>
    <xf borderId="8" fillId="4" fontId="6" numFmtId="0" xfId="0" applyAlignment="1" applyBorder="1" applyFill="1" applyFont="1">
      <alignment readingOrder="0" shrinkToFit="0" vertical="bottom" wrapText="0"/>
    </xf>
    <xf borderId="7" fillId="0" fontId="6" numFmtId="164" xfId="0" applyAlignment="1" applyBorder="1" applyFont="1" applyNumberFormat="1">
      <alignment horizontal="center" shrinkToFit="0" vertical="bottom" wrapText="0"/>
    </xf>
    <xf borderId="0" fillId="0" fontId="6" numFmtId="0" xfId="0" applyAlignment="1" applyFont="1">
      <alignment horizontal="left" readingOrder="0" shrinkToFit="0" vertical="top" wrapText="1"/>
    </xf>
    <xf borderId="7" fillId="0" fontId="5" numFmtId="164" xfId="0" applyAlignment="1" applyBorder="1" applyFont="1" applyNumberFormat="1">
      <alignment horizontal="center" shrinkToFit="0" vertical="bottom" wrapText="0"/>
    </xf>
    <xf borderId="7" fillId="5" fontId="3" numFmtId="0" xfId="0" applyAlignment="1" applyBorder="1" applyFill="1" applyFont="1">
      <alignment shrinkToFit="0" vertical="bottom" wrapText="0"/>
    </xf>
    <xf borderId="7" fillId="5" fontId="6" numFmtId="165" xfId="0" applyAlignment="1" applyBorder="1" applyFill="1" applyFont="1" applyNumberFormat="1">
      <alignment shrinkToFit="0" vertical="bottom" wrapText="0"/>
    </xf>
    <xf borderId="7" fillId="5" fontId="3" numFmtId="0" xfId="0" applyAlignment="1" applyBorder="1" applyFill="1" applyFont="1">
      <alignment readingOrder="0" shrinkToFit="0" vertical="bottom" wrapText="0"/>
    </xf>
    <xf borderId="7" fillId="5" fontId="6" numFmtId="164" xfId="0" applyAlignment="1" applyBorder="1" applyFill="1" applyFont="1" applyNumberFormat="1">
      <alignment shrinkToFit="0" vertical="bottom" wrapText="0"/>
    </xf>
    <xf borderId="0" fillId="0" fontId="9" numFmtId="0" xfId="0" applyAlignment="1" applyFont="1">
      <alignment readingOrder="0" shrinkToFit="0" vertical="top" wrapText="1"/>
    </xf>
    <xf borderId="7" fillId="5" fontId="6" numFmtId="2" xfId="0" applyAlignment="1" applyBorder="1" applyFill="1" applyFont="1" applyNumberFormat="1">
      <alignment shrinkToFit="0" vertical="bottom" wrapText="0"/>
    </xf>
    <xf borderId="1" fillId="0" fontId="10" numFmtId="0" xfId="0" applyAlignment="1" applyBorder="1" applyFont="1">
      <alignment horizontal="left" readingOrder="0" shrinkToFit="0" vertical="top" wrapText="1"/>
    </xf>
    <xf borderId="9" fillId="0" fontId="2" numFmtId="0" xfId="0" applyBorder="1" applyFont="1"/>
    <xf borderId="10" fillId="0" fontId="2" numFmtId="0" xfId="0" applyBorder="1" applyFont="1"/>
    <xf borderId="0" fillId="0" fontId="4" numFmtId="0" xfId="0" applyAlignment="1" applyFont="1">
      <alignment shrinkToFit="0" vertical="top" wrapText="1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12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1.xml"/><Relationship Id="rId4" Type="http://schemas.microsoft.com/office/2017/10/relationships/person" Target="persons/person.xml"/><Relationship Id="rId9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15.0"/>
    <col customWidth="1" min="3" max="26" width="8.71"/>
  </cols>
  <sheetData>
    <row r="1" ht="27.75" customHeight="1">
      <c r="A1" s="1" t="s">
        <v>0</v>
      </c>
      <c r="B1" s="3"/>
      <c r="C1" s="3"/>
      <c r="D1" s="3"/>
      <c r="E1" s="3"/>
      <c r="F1" s="3"/>
      <c r="G1" s="3"/>
      <c r="H1" s="4"/>
    </row>
    <row r="2" ht="15.0" customHeight="1">
      <c r="A2" s="5"/>
      <c r="B2" s="6"/>
      <c r="C2" s="6"/>
      <c r="D2" s="6"/>
      <c r="E2" s="6"/>
      <c r="F2" s="6"/>
      <c r="G2" s="6"/>
      <c r="H2" s="7"/>
    </row>
    <row r="3" ht="15.0" customHeight="1"/>
    <row r="4" ht="15.0" customHeight="1">
      <c r="B4" s="9" t="s">
        <v>5</v>
      </c>
    </row>
    <row r="5" ht="15.0" customHeight="1">
      <c r="B5" s="12" t="s">
        <v>7</v>
      </c>
    </row>
    <row r="6" ht="15.0" customHeight="1">
      <c r="B6" s="13" t="s">
        <v>10</v>
      </c>
    </row>
    <row r="7" ht="15.0" customHeight="1">
      <c r="B7" s="18" t="s">
        <v>12</v>
      </c>
    </row>
    <row r="8" ht="15.0" customHeight="1">
      <c r="B8" s="20" t="s">
        <v>19</v>
      </c>
    </row>
    <row r="9" ht="15.0" customHeight="1"/>
    <row r="10" ht="15.0" customHeight="1">
      <c r="B10" s="9" t="s">
        <v>20</v>
      </c>
    </row>
    <row r="11" ht="15.0" customHeight="1">
      <c r="B11" s="9" t="s">
        <v>21</v>
      </c>
    </row>
    <row r="12" ht="15.75" customHeight="1">
      <c r="B12" s="22" t="s">
        <v>22</v>
      </c>
    </row>
    <row r="13" ht="15.75" customHeight="1"/>
    <row r="14" ht="24.75" customHeight="1"/>
    <row r="15" ht="15.75" customHeight="1"/>
    <row r="16" ht="15.0" customHeight="1">
      <c r="B16" s="9" t="s">
        <v>23</v>
      </c>
    </row>
    <row r="17" ht="15.75" customHeight="1">
      <c r="B17" s="22" t="s">
        <v>24</v>
      </c>
    </row>
    <row r="18" ht="15.75" customHeight="1"/>
    <row r="19" ht="15.0" customHeight="1"/>
    <row r="20" ht="15.0" customHeight="1">
      <c r="B20" s="9" t="s">
        <v>25</v>
      </c>
    </row>
    <row r="21" ht="15.75" customHeight="1">
      <c r="B21" s="22" t="s">
        <v>26</v>
      </c>
    </row>
    <row r="22" ht="24.75" customHeight="1"/>
    <row r="23" ht="15.0" customHeight="1"/>
    <row r="24" ht="15.0" customHeight="1">
      <c r="B24" s="9" t="s">
        <v>27</v>
      </c>
    </row>
    <row r="25" ht="15.75" customHeight="1">
      <c r="B25" s="22" t="s">
        <v>28</v>
      </c>
    </row>
    <row r="26" ht="15.75" customHeight="1"/>
    <row r="27" ht="15.75" customHeight="1"/>
    <row r="28" ht="15.75" customHeight="1"/>
    <row r="29" ht="15.0" customHeight="1">
      <c r="B29" s="8"/>
    </row>
    <row r="30" ht="15.0" customHeight="1">
      <c r="B30" s="22"/>
    </row>
    <row r="31" ht="15.0" customHeight="1"/>
    <row r="32" ht="15.75" customHeight="1"/>
    <row r="33" ht="15.75" customHeight="1"/>
    <row r="34" ht="15.75" customHeight="1"/>
    <row r="35" ht="15.75" customHeight="1">
      <c r="B35" s="8"/>
    </row>
    <row r="36" ht="15.75" customHeight="1">
      <c r="B36" s="22"/>
    </row>
    <row r="37" ht="15.75" customHeight="1"/>
    <row r="38" ht="15.75" customHeight="1"/>
    <row r="39" ht="29.25" customHeight="1"/>
    <row r="40" ht="15.75" customHeight="1"/>
    <row r="41" ht="15.75" customHeight="1">
      <c r="B41" s="8"/>
    </row>
    <row r="42" ht="15.75" customHeight="1">
      <c r="B42" s="22"/>
    </row>
    <row r="43" ht="15.75" customHeight="1"/>
    <row r="44" ht="15.75" customHeight="1"/>
    <row r="45" ht="15.75" customHeight="1"/>
    <row r="46" ht="15.75" customHeight="1"/>
    <row r="47" ht="15.75" customHeight="1">
      <c r="B47" s="8"/>
    </row>
    <row r="48" ht="15.75" customHeight="1">
      <c r="B48" s="2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9">
    <mergeCell ref="B42:B45"/>
    <mergeCell ref="B48:B51"/>
    <mergeCell ref="A1:H2"/>
    <mergeCell ref="B12:B15"/>
    <mergeCell ref="B17:B18"/>
    <mergeCell ref="B21:B22"/>
    <mergeCell ref="B25:B28"/>
    <mergeCell ref="B30:B33"/>
    <mergeCell ref="B36:B39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4.43"/>
    <col customWidth="1" min="3" max="3" width="30.57"/>
    <col customWidth="1" min="4" max="4" width="16.0"/>
    <col customWidth="1" min="5" max="6" width="18.0"/>
    <col customWidth="1" min="7" max="26" width="8.71"/>
  </cols>
  <sheetData>
    <row r="1" ht="25.5" customHeight="1">
      <c r="A1" s="2" t="s">
        <v>2</v>
      </c>
      <c r="B1" s="3"/>
      <c r="C1" s="3"/>
      <c r="D1" s="3"/>
      <c r="E1" s="3"/>
      <c r="F1" s="4"/>
    </row>
    <row r="2">
      <c r="A2" s="5"/>
      <c r="B2" s="6"/>
      <c r="C2" s="6"/>
      <c r="D2" s="6"/>
      <c r="E2" s="6"/>
      <c r="F2" s="7"/>
    </row>
    <row r="4">
      <c r="B4" s="8" t="s">
        <v>4</v>
      </c>
      <c r="C4" s="11">
        <v>18000.0</v>
      </c>
    </row>
    <row r="5">
      <c r="B5" s="9" t="s">
        <v>9</v>
      </c>
      <c r="C5" s="14">
        <v>0.15</v>
      </c>
    </row>
    <row r="6">
      <c r="B6" s="16" t="s">
        <v>13</v>
      </c>
    </row>
    <row r="8">
      <c r="B8" s="17" t="s">
        <v>14</v>
      </c>
      <c r="C8" s="17" t="s">
        <v>15</v>
      </c>
      <c r="D8" s="17" t="s">
        <v>16</v>
      </c>
      <c r="E8" s="17" t="s">
        <v>17</v>
      </c>
      <c r="F8" s="17" t="s">
        <v>18</v>
      </c>
    </row>
    <row r="9">
      <c r="B9" s="19">
        <v>0.0</v>
      </c>
      <c r="C9" s="21">
        <f>-$C$4</f>
        <v>-18000</v>
      </c>
      <c r="D9" s="21">
        <f t="shared" ref="D9:D13" si="2">C9/(1+$C$5)^B9</f>
        <v>-18000</v>
      </c>
      <c r="E9" s="21">
        <f t="shared" ref="E9:F9" si="1">C9</f>
        <v>-18000</v>
      </c>
      <c r="F9" s="21">
        <f t="shared" si="1"/>
        <v>-18000</v>
      </c>
    </row>
    <row r="10">
      <c r="B10" s="19">
        <v>1.0</v>
      </c>
      <c r="C10" s="23">
        <v>5000.0</v>
      </c>
      <c r="D10" s="21">
        <f t="shared" si="2"/>
        <v>4347.826087</v>
      </c>
      <c r="E10" s="21">
        <f t="shared" ref="E10:F10" si="3">E9+C10</f>
        <v>-13000</v>
      </c>
      <c r="F10" s="21">
        <f t="shared" si="3"/>
        <v>-13652.17391</v>
      </c>
    </row>
    <row r="11">
      <c r="B11" s="19">
        <v>2.0</v>
      </c>
      <c r="C11" s="23">
        <v>6000.0</v>
      </c>
      <c r="D11" s="21">
        <f t="shared" si="2"/>
        <v>4536.862004</v>
      </c>
      <c r="E11" s="21">
        <f t="shared" ref="E11:F11" si="4">E10+C11</f>
        <v>-7000</v>
      </c>
      <c r="F11" s="21">
        <f t="shared" si="4"/>
        <v>-9115.311909</v>
      </c>
    </row>
    <row r="12">
      <c r="B12" s="19">
        <v>3.0</v>
      </c>
      <c r="C12" s="23">
        <v>6000.0</v>
      </c>
      <c r="D12" s="21">
        <f t="shared" si="2"/>
        <v>3945.097395</v>
      </c>
      <c r="E12" s="21">
        <f t="shared" ref="E12:F12" si="5">E11+C12</f>
        <v>-1000</v>
      </c>
      <c r="F12" s="21">
        <f t="shared" si="5"/>
        <v>-5170.214515</v>
      </c>
    </row>
    <row r="13">
      <c r="B13" s="19">
        <v>4.0</v>
      </c>
      <c r="C13" s="23">
        <v>7000.0</v>
      </c>
      <c r="D13" s="21">
        <f t="shared" si="2"/>
        <v>4002.272719</v>
      </c>
      <c r="E13" s="21">
        <f t="shared" ref="E13:F13" si="6">E12+C13</f>
        <v>6000</v>
      </c>
      <c r="F13" s="21">
        <f t="shared" si="6"/>
        <v>-1167.941796</v>
      </c>
    </row>
    <row r="16">
      <c r="B16" s="9" t="s">
        <v>30</v>
      </c>
    </row>
    <row r="17">
      <c r="B17" s="24" t="s">
        <v>31</v>
      </c>
      <c r="C17" s="25">
        <f>SUM(C10:C13)/C4-1</f>
        <v>0.3333333333</v>
      </c>
    </row>
    <row r="18">
      <c r="B18" s="26" t="s">
        <v>33</v>
      </c>
      <c r="C18" s="29">
        <f t="array" ref="C18">IFERROR(COUNTIF(E10:E13,"&lt;0")+ -INDEX(E9:E13,COUNTIF(E10:E13,"&lt;0")+1)/INDEX(C10:C13,COUNTIF(E10:E13,"&lt;0")+1),"No se recupera en el horizonte")</f>
        <v>3.142857143</v>
      </c>
    </row>
    <row r="19">
      <c r="B19" s="24" t="s">
        <v>32</v>
      </c>
      <c r="C19" s="27">
        <f>SUM(D9:D13)</f>
        <v>-1167.941796</v>
      </c>
    </row>
    <row r="20">
      <c r="B20" s="24" t="s">
        <v>34</v>
      </c>
      <c r="C20" s="25">
        <f>C19/C4</f>
        <v>-0.06488565531</v>
      </c>
    </row>
    <row r="21" ht="15.75" customHeight="1">
      <c r="B21" s="24" t="s">
        <v>36</v>
      </c>
      <c r="C21" s="25">
        <f>IRR(C9:C13)</f>
        <v>0.1191671291</v>
      </c>
    </row>
    <row r="22" ht="15.75" customHeight="1">
      <c r="B22" s="26" t="s">
        <v>37</v>
      </c>
      <c r="C22" s="29" t="str">
        <f t="array" ref="C22">IFERROR(COUNTIF(F10:F13,"&lt;0")+ -INDEX(F9:F13,COUNTIF(F10:F13,"&lt;0")+1)/INDEX(D10:D13,COUNTIF(F10:F13,"&lt;0")+1),"No se recupera en el horizonte")</f>
        <v>No se recupera en el horizonte</v>
      </c>
    </row>
    <row r="23" ht="15.75" customHeight="1"/>
    <row r="24" ht="15.75" customHeight="1">
      <c r="B24" s="8" t="s">
        <v>38</v>
      </c>
    </row>
    <row r="25" ht="15.0" customHeight="1">
      <c r="B25" s="30" t="s">
        <v>39</v>
      </c>
      <c r="C25" s="3"/>
      <c r="D25" s="3"/>
      <c r="E25" s="3"/>
      <c r="F25" s="4"/>
    </row>
    <row r="26" ht="15.75" customHeight="1">
      <c r="B26" s="31"/>
      <c r="F26" s="32"/>
    </row>
    <row r="27" ht="41.25" customHeight="1">
      <c r="B27" s="5"/>
      <c r="C27" s="6"/>
      <c r="D27" s="6"/>
      <c r="E27" s="6"/>
      <c r="F27" s="7"/>
    </row>
    <row r="28" ht="15.0" customHeight="1">
      <c r="B28" s="33" t="s">
        <v>40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F2"/>
    <mergeCell ref="B25:F27"/>
    <mergeCell ref="B28:F29"/>
  </mergeCell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8.0"/>
    <col customWidth="1" min="3" max="4" width="16.0"/>
    <col customWidth="1" min="5" max="6" width="18.0"/>
    <col customWidth="1" min="7" max="26" width="8.71"/>
  </cols>
  <sheetData>
    <row r="1" ht="25.5" customHeight="1">
      <c r="A1" s="1" t="s">
        <v>1</v>
      </c>
      <c r="B1" s="3"/>
      <c r="C1" s="3"/>
      <c r="D1" s="3"/>
      <c r="E1" s="3"/>
      <c r="F1" s="4"/>
    </row>
    <row r="2">
      <c r="A2" s="5"/>
      <c r="B2" s="6"/>
      <c r="C2" s="6"/>
      <c r="D2" s="6"/>
      <c r="E2" s="6"/>
      <c r="F2" s="7"/>
    </row>
    <row r="4">
      <c r="B4" s="10" t="s">
        <v>8</v>
      </c>
    </row>
    <row r="5">
      <c r="B5" s="8" t="s">
        <v>4</v>
      </c>
      <c r="C5" s="11">
        <v>25000.0</v>
      </c>
    </row>
    <row r="7">
      <c r="B7" s="15" t="s">
        <v>11</v>
      </c>
      <c r="C7" s="17" t="s">
        <v>15</v>
      </c>
      <c r="D7" s="17" t="s">
        <v>16</v>
      </c>
      <c r="E7" s="17" t="s">
        <v>17</v>
      </c>
      <c r="F7" s="17" t="s">
        <v>18</v>
      </c>
    </row>
    <row r="8">
      <c r="B8" s="19">
        <v>0.0</v>
      </c>
      <c r="C8" s="21">
        <f>-$C$5</f>
        <v>-25000</v>
      </c>
      <c r="D8" s="21">
        <f t="shared" ref="D8:D12" si="2">C8/(1+0)^B8</f>
        <v>-25000</v>
      </c>
      <c r="E8" s="21">
        <f t="shared" ref="E8:F8" si="1">C8</f>
        <v>-25000</v>
      </c>
      <c r="F8" s="21">
        <f t="shared" si="1"/>
        <v>-25000</v>
      </c>
    </row>
    <row r="9">
      <c r="B9" s="19">
        <v>1.0</v>
      </c>
      <c r="C9" s="23">
        <v>8000.0</v>
      </c>
      <c r="D9" s="21">
        <f t="shared" si="2"/>
        <v>8000</v>
      </c>
      <c r="E9" s="21">
        <f t="shared" ref="E9:F9" si="3">E8+C9</f>
        <v>-17000</v>
      </c>
      <c r="F9" s="21">
        <f t="shared" si="3"/>
        <v>-17000</v>
      </c>
    </row>
    <row r="10">
      <c r="B10" s="19">
        <v>2.0</v>
      </c>
      <c r="C10" s="23">
        <v>8000.0</v>
      </c>
      <c r="D10" s="21">
        <f t="shared" si="2"/>
        <v>8000</v>
      </c>
      <c r="E10" s="21">
        <f t="shared" ref="E10:F10" si="4">E9+C10</f>
        <v>-9000</v>
      </c>
      <c r="F10" s="21">
        <f t="shared" si="4"/>
        <v>-9000</v>
      </c>
    </row>
    <row r="11">
      <c r="B11" s="19">
        <v>3.0</v>
      </c>
      <c r="C11" s="23">
        <v>9000.0</v>
      </c>
      <c r="D11" s="21">
        <f t="shared" si="2"/>
        <v>9000</v>
      </c>
      <c r="E11" s="21">
        <f t="shared" ref="E11:F11" si="5">E10+C11</f>
        <v>0</v>
      </c>
      <c r="F11" s="21">
        <f t="shared" si="5"/>
        <v>0</v>
      </c>
    </row>
    <row r="12">
      <c r="B12" s="19">
        <v>4.0</v>
      </c>
      <c r="C12" s="23">
        <v>9000.0</v>
      </c>
      <c r="D12" s="21">
        <f t="shared" si="2"/>
        <v>9000</v>
      </c>
      <c r="E12" s="21">
        <f t="shared" ref="E12:F12" si="6">E11+C12</f>
        <v>9000</v>
      </c>
      <c r="F12" s="21">
        <f t="shared" si="6"/>
        <v>9000</v>
      </c>
    </row>
    <row r="13">
      <c r="B13" s="16" t="s">
        <v>29</v>
      </c>
    </row>
    <row r="15">
      <c r="B15" s="9" t="s">
        <v>30</v>
      </c>
    </row>
    <row r="16">
      <c r="B16" s="24" t="s">
        <v>31</v>
      </c>
      <c r="C16" s="25">
        <f>SUM(C9:C12)/C5-1</f>
        <v>0.36</v>
      </c>
    </row>
    <row r="17">
      <c r="B17" s="26" t="s">
        <v>33</v>
      </c>
      <c r="C17" s="29">
        <f t="array" ref="C17">IFERROR(COUNTIF(E9:E12,"&lt;0")+ -INDEX(E8:E12,COUNTIF(E9:E12,"&lt;0")+1)/INDEX(C9:C12,COUNTIF(E9:E12,"&lt;0")+1),"No se recupera en el horizonte")</f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2"/>
  </mergeCell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8.0"/>
    <col customWidth="1" min="3" max="4" width="16.0"/>
    <col customWidth="1" min="5" max="6" width="18.0"/>
    <col customWidth="1" min="7" max="26" width="8.71"/>
  </cols>
  <sheetData>
    <row r="1" ht="25.5" customHeight="1">
      <c r="A1" s="1" t="s">
        <v>3</v>
      </c>
      <c r="B1" s="3"/>
      <c r="C1" s="3"/>
      <c r="D1" s="3"/>
      <c r="E1" s="3"/>
      <c r="F1" s="4"/>
    </row>
    <row r="2">
      <c r="A2" s="5"/>
      <c r="B2" s="6"/>
      <c r="C2" s="6"/>
      <c r="D2" s="6"/>
      <c r="E2" s="6"/>
      <c r="F2" s="7"/>
    </row>
    <row r="4">
      <c r="B4" s="10" t="s">
        <v>6</v>
      </c>
    </row>
    <row r="5">
      <c r="B5" s="8" t="s">
        <v>4</v>
      </c>
      <c r="C5" s="11">
        <v>15000.0</v>
      </c>
    </row>
    <row r="6">
      <c r="B6" s="9" t="s">
        <v>9</v>
      </c>
      <c r="C6" s="14">
        <v>0.12</v>
      </c>
    </row>
    <row r="8">
      <c r="B8" s="17" t="s">
        <v>14</v>
      </c>
      <c r="C8" s="17" t="s">
        <v>15</v>
      </c>
      <c r="D8" s="17" t="s">
        <v>16</v>
      </c>
      <c r="E8" s="17" t="s">
        <v>17</v>
      </c>
      <c r="F8" s="17" t="s">
        <v>18</v>
      </c>
    </row>
    <row r="9">
      <c r="B9" s="19">
        <v>0.0</v>
      </c>
      <c r="C9" s="21">
        <f>-$C$5</f>
        <v>-15000</v>
      </c>
      <c r="D9" s="21">
        <f t="shared" ref="D9:D14" si="2">C9/(1+$C$6)^B9</f>
        <v>-15000</v>
      </c>
      <c r="E9" s="21">
        <f t="shared" ref="E9:F9" si="1">C9</f>
        <v>-15000</v>
      </c>
      <c r="F9" s="21">
        <f t="shared" si="1"/>
        <v>-15000</v>
      </c>
    </row>
    <row r="10">
      <c r="B10" s="19">
        <v>1.0</v>
      </c>
      <c r="C10" s="23">
        <v>4000.0</v>
      </c>
      <c r="D10" s="21">
        <f t="shared" si="2"/>
        <v>3571.428571</v>
      </c>
      <c r="E10" s="21">
        <f t="shared" ref="E10:F10" si="3">E9+C10</f>
        <v>-11000</v>
      </c>
      <c r="F10" s="21">
        <f t="shared" si="3"/>
        <v>-11428.57143</v>
      </c>
    </row>
    <row r="11">
      <c r="B11" s="19">
        <v>2.0</v>
      </c>
      <c r="C11" s="23">
        <v>5000.0</v>
      </c>
      <c r="D11" s="21">
        <f t="shared" si="2"/>
        <v>3985.969388</v>
      </c>
      <c r="E11" s="21">
        <f t="shared" ref="E11:F11" si="4">E10+C11</f>
        <v>-6000</v>
      </c>
      <c r="F11" s="21">
        <f t="shared" si="4"/>
        <v>-7442.602041</v>
      </c>
    </row>
    <row r="12">
      <c r="B12" s="19">
        <v>3.0</v>
      </c>
      <c r="C12" s="23">
        <v>5000.0</v>
      </c>
      <c r="D12" s="21">
        <f t="shared" si="2"/>
        <v>3558.901239</v>
      </c>
      <c r="E12" s="21">
        <f t="shared" ref="E12:F12" si="5">E11+C12</f>
        <v>-1000</v>
      </c>
      <c r="F12" s="21">
        <f t="shared" si="5"/>
        <v>-3883.700802</v>
      </c>
    </row>
    <row r="13">
      <c r="B13" s="19">
        <v>4.0</v>
      </c>
      <c r="C13" s="23">
        <v>6000.0</v>
      </c>
      <c r="D13" s="21">
        <f t="shared" si="2"/>
        <v>3813.10847</v>
      </c>
      <c r="E13" s="21">
        <f t="shared" ref="E13:F13" si="6">E12+C13</f>
        <v>5000</v>
      </c>
      <c r="F13" s="21">
        <f t="shared" si="6"/>
        <v>-70.59233132</v>
      </c>
    </row>
    <row r="14">
      <c r="B14" s="19">
        <v>5.0</v>
      </c>
      <c r="C14" s="23">
        <v>6000.0</v>
      </c>
      <c r="D14" s="21">
        <f t="shared" si="2"/>
        <v>3404.561134</v>
      </c>
      <c r="E14" s="21">
        <f t="shared" ref="E14:F14" si="7">E13+C14</f>
        <v>11000</v>
      </c>
      <c r="F14" s="21">
        <f t="shared" si="7"/>
        <v>3333.968803</v>
      </c>
    </row>
    <row r="17">
      <c r="B17" s="9" t="s">
        <v>30</v>
      </c>
    </row>
    <row r="18">
      <c r="B18" s="24" t="s">
        <v>32</v>
      </c>
      <c r="C18" s="27">
        <f>SUM(D9:D14)</f>
        <v>3333.968803</v>
      </c>
    </row>
    <row r="19">
      <c r="B19" s="24" t="s">
        <v>34</v>
      </c>
      <c r="C19" s="25">
        <f>C18/C5</f>
        <v>0.2222645869</v>
      </c>
    </row>
    <row r="21" ht="15.0" customHeight="1">
      <c r="B21" s="28" t="s">
        <v>35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2"/>
    <mergeCell ref="B21:F22"/>
  </mergeCells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1.71"/>
    <col customWidth="1" min="3" max="4" width="16.0"/>
    <col customWidth="1" min="5" max="6" width="18.0"/>
    <col customWidth="1" min="7" max="26" width="8.71"/>
  </cols>
  <sheetData>
    <row r="1" ht="25.5" customHeight="1">
      <c r="A1" s="1" t="s">
        <v>41</v>
      </c>
      <c r="B1" s="3"/>
      <c r="C1" s="3"/>
      <c r="D1" s="3"/>
      <c r="E1" s="3"/>
      <c r="F1" s="4"/>
    </row>
    <row r="2">
      <c r="A2" s="5"/>
      <c r="B2" s="6"/>
      <c r="C2" s="6"/>
      <c r="D2" s="6"/>
      <c r="E2" s="6"/>
      <c r="F2" s="7"/>
    </row>
    <row r="4">
      <c r="B4" s="10" t="s">
        <v>42</v>
      </c>
    </row>
    <row r="5">
      <c r="B5" s="8" t="s">
        <v>4</v>
      </c>
      <c r="C5" s="11">
        <v>20000.0</v>
      </c>
    </row>
    <row r="6">
      <c r="B6" s="9" t="s">
        <v>43</v>
      </c>
      <c r="C6" s="14">
        <v>0.18</v>
      </c>
    </row>
    <row r="8">
      <c r="B8" s="17" t="s">
        <v>14</v>
      </c>
      <c r="C8" s="17" t="s">
        <v>15</v>
      </c>
      <c r="D8" s="17" t="s">
        <v>16</v>
      </c>
      <c r="E8" s="17" t="s">
        <v>17</v>
      </c>
      <c r="F8" s="17" t="s">
        <v>18</v>
      </c>
    </row>
    <row r="9">
      <c r="B9" s="19">
        <v>0.0</v>
      </c>
      <c r="C9" s="21">
        <f>-$C$5</f>
        <v>-20000</v>
      </c>
      <c r="D9" s="21">
        <f t="shared" ref="D9:D13" si="2">C9/(1+$C$6)^B9</f>
        <v>-20000</v>
      </c>
      <c r="E9" s="21">
        <f t="shared" ref="E9:F9" si="1">C9</f>
        <v>-20000</v>
      </c>
      <c r="F9" s="21">
        <f t="shared" si="1"/>
        <v>-20000</v>
      </c>
    </row>
    <row r="10">
      <c r="B10" s="19">
        <v>1.0</v>
      </c>
      <c r="C10" s="23">
        <v>7000.0</v>
      </c>
      <c r="D10" s="21">
        <f t="shared" si="2"/>
        <v>5932.20339</v>
      </c>
      <c r="E10" s="21">
        <f t="shared" ref="E10:F10" si="3">E9+C10</f>
        <v>-13000</v>
      </c>
      <c r="F10" s="21">
        <f t="shared" si="3"/>
        <v>-14067.79661</v>
      </c>
    </row>
    <row r="11">
      <c r="B11" s="19">
        <v>2.0</v>
      </c>
      <c r="C11" s="23">
        <v>7000.0</v>
      </c>
      <c r="D11" s="21">
        <f t="shared" si="2"/>
        <v>5027.291008</v>
      </c>
      <c r="E11" s="21">
        <f t="shared" ref="E11:F11" si="4">E10+C11</f>
        <v>-6000</v>
      </c>
      <c r="F11" s="21">
        <f t="shared" si="4"/>
        <v>-9040.505602</v>
      </c>
    </row>
    <row r="12">
      <c r="B12" s="19">
        <v>3.0</v>
      </c>
      <c r="C12" s="23">
        <v>7000.0</v>
      </c>
      <c r="D12" s="21">
        <f t="shared" si="2"/>
        <v>4260.416109</v>
      </c>
      <c r="E12" s="21">
        <f t="shared" ref="E12:F12" si="5">E11+C12</f>
        <v>1000</v>
      </c>
      <c r="F12" s="21">
        <f t="shared" si="5"/>
        <v>-4780.089493</v>
      </c>
    </row>
    <row r="13">
      <c r="B13" s="19">
        <v>4.0</v>
      </c>
      <c r="C13" s="23">
        <v>7000.0</v>
      </c>
      <c r="D13" s="21">
        <f t="shared" si="2"/>
        <v>3610.522126</v>
      </c>
      <c r="E13" s="21">
        <f t="shared" ref="E13:F13" si="6">E12+C13</f>
        <v>8000</v>
      </c>
      <c r="F13" s="21">
        <f t="shared" si="6"/>
        <v>-1169.567367</v>
      </c>
    </row>
    <row r="16">
      <c r="B16" s="9" t="s">
        <v>30</v>
      </c>
    </row>
    <row r="17">
      <c r="B17" s="24" t="s">
        <v>36</v>
      </c>
      <c r="C17" s="25">
        <f>IRR(C9:C13)</f>
        <v>0.1496254403</v>
      </c>
    </row>
    <row r="18">
      <c r="B18" s="24" t="s">
        <v>44</v>
      </c>
      <c r="C18" s="27">
        <f>SUM(D9:D13)</f>
        <v>-1169.567367</v>
      </c>
    </row>
    <row r="20">
      <c r="B20" s="34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2"/>
    <mergeCell ref="B20:F21"/>
  </mergeCells>
  <printOptions/>
  <pageMargins bottom="1.0" footer="0.0" header="0.0" left="0.75" right="0.75" top="1.0"/>
  <pageSetup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7C5835B3077184C82996B99E3C1ECA1" ma:contentTypeVersion="3" ma:contentTypeDescription="Crear nuevo documento." ma:contentTypeScope="" ma:versionID="2d129ccc9c0c68f6f930f7424fead56e">
  <xsd:schema xmlns:xsd="http://www.w3.org/2001/XMLSchema" xmlns:xs="http://www.w3.org/2001/XMLSchema" xmlns:p="http://schemas.microsoft.com/office/2006/metadata/properties" xmlns:ns2="1b023ac7-f195-477c-a52e-87eacc0274da" targetNamespace="http://schemas.microsoft.com/office/2006/metadata/properties" ma:root="true" ma:fieldsID="ab82dc17f4a81419fac1c881e2acec3d" ns2:_="">
    <xsd:import namespace="1b023ac7-f195-477c-a52e-87eacc027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23ac7-f195-477c-a52e-87eacc027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1836E-2D74-4871-8C99-1981F894BECE}"/>
</file>

<file path=customXml/itemProps2.xml><?xml version="1.0" encoding="utf-8"?>
<ds:datastoreItem xmlns:ds="http://schemas.openxmlformats.org/officeDocument/2006/customXml" ds:itemID="{523F4AA1-4686-441D-B257-BF287028E88C}"/>
</file>

<file path=customXml/itemProps3.xml><?xml version="1.0" encoding="utf-8"?>
<ds:datastoreItem xmlns:ds="http://schemas.openxmlformats.org/officeDocument/2006/customXml" ds:itemID="{ABB84DE5-E3EF-48F9-92C7-C687C42EDA7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0x010100A7C5835B3077184C82996B99E3C1ECA1</vt:lpwstr>
  </property>
</Properties>
</file>